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dnobles/Documents/sipp_analyses/"/>
    </mc:Choice>
  </mc:AlternateContent>
  <xr:revisionPtr revIDLastSave="0" documentId="13_ncr:1_{02DCD72E-D722-D549-877D-07D8094B5849}" xr6:coauthVersionLast="47" xr6:coauthVersionMax="47" xr10:uidLastSave="{00000000-0000-0000-0000-000000000000}"/>
  <bookViews>
    <workbookView xWindow="-5320" yWindow="-21100" windowWidth="38400" windowHeight="21100" xr2:uid="{EBE9F5AC-5473-A943-B948-FF7D985092E7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Y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C10" i="1"/>
  <c r="D10" i="1"/>
  <c r="E10" i="1"/>
  <c r="F10" i="1"/>
  <c r="G10" i="1"/>
  <c r="AY10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C7" i="1"/>
  <c r="D7" i="1"/>
  <c r="E7" i="1"/>
  <c r="F7" i="1"/>
  <c r="G7" i="1"/>
  <c r="H7" i="1"/>
  <c r="I7" i="1"/>
  <c r="J7" i="1"/>
  <c r="K7" i="1"/>
  <c r="AY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Y8" i="1"/>
  <c r="Y18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Y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Y4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Y17" i="1"/>
  <c r="M18" i="1"/>
  <c r="M17" i="1"/>
  <c r="BA4" i="1"/>
  <c r="BA5" i="1"/>
  <c r="BA6" i="1"/>
  <c r="BA7" i="1"/>
  <c r="BA8" i="1"/>
  <c r="BA9" i="1"/>
  <c r="BA10" i="1"/>
  <c r="BA3" i="1"/>
  <c r="AZ10" i="1"/>
  <c r="AZ9" i="1"/>
  <c r="AZ8" i="1"/>
  <c r="AZ7" i="1"/>
  <c r="AZ6" i="1"/>
  <c r="AZ5" i="1"/>
  <c r="AZ4" i="1"/>
  <c r="AZ3" i="1"/>
</calcChain>
</file>

<file path=xl/sharedStrings.xml><?xml version="1.0" encoding="utf-8"?>
<sst xmlns="http://schemas.openxmlformats.org/spreadsheetml/2006/main" count="32" uniqueCount="26">
  <si>
    <t>Person Specific Month Count</t>
  </si>
  <si>
    <t>Person</t>
  </si>
  <si>
    <t>A</t>
  </si>
  <si>
    <t>B</t>
  </si>
  <si>
    <t>C</t>
  </si>
  <si>
    <t>D</t>
  </si>
  <si>
    <t>E</t>
  </si>
  <si>
    <t>F</t>
  </si>
  <si>
    <t>G</t>
  </si>
  <si>
    <t>H</t>
  </si>
  <si>
    <t>Average using Only WS months</t>
  </si>
  <si>
    <t>Average using only months after 12</t>
  </si>
  <si>
    <t xml:space="preserve">Color Key </t>
  </si>
  <si>
    <t xml:space="preserve">Wage and Salary </t>
  </si>
  <si>
    <t>SE</t>
  </si>
  <si>
    <t>Self-employed</t>
  </si>
  <si>
    <t>Unemployed</t>
  </si>
  <si>
    <t>Modal Status in first 12</t>
  </si>
  <si>
    <t>WS</t>
  </si>
  <si>
    <t>Unemp</t>
  </si>
  <si>
    <t xml:space="preserve">Average using all months </t>
  </si>
  <si>
    <t>Our Table would show</t>
  </si>
  <si>
    <t>SE vs WS</t>
  </si>
  <si>
    <t>Unemp vs WS</t>
  </si>
  <si>
    <t>Our table using person-level averages would show</t>
  </si>
  <si>
    <t xml:space="preserve">Unemp vs 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</si>
</sst>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5" borderId="1" xfId="0" applyFont="1" applyFill="1" applyBorder="1"/>
    <xf numFmtId="1" fontId="0" fillId="0" borderId="0" xfId="0" applyNumberFormat="1" applyFont="1"/>
    <xf numFmtId="1" fontId="0" fillId="0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FF74-9CDF-D14F-885C-FE47814B48A7}">
  <dimension ref="A1:BA19"/>
  <sheetViews>
    <sheetView tabSelected="1" zoomScale="150" zoomScaleNormal="110" workbookViewId="0">
      <selection activeCell="Y19" sqref="Y19"/>
    </sheetView>
  </sheetViews>
  <sheetFormatPr baseColWidth="10" defaultRowHeight="16" x14ac:dyDescent="0.2"/>
  <cols>
    <col min="1" max="1" width="15.5" customWidth="1"/>
    <col min="2" max="2" width="9.5" customWidth="1"/>
    <col min="3" max="50" width="4.83203125" customWidth="1"/>
    <col min="51" max="52" width="14.33203125" bestFit="1" customWidth="1"/>
  </cols>
  <sheetData>
    <row r="1" spans="1:53" ht="68" x14ac:dyDescent="0.2">
      <c r="A1" s="1"/>
      <c r="B1" s="12" t="s">
        <v>17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6" t="s">
        <v>20</v>
      </c>
      <c r="AZ1" s="6" t="s">
        <v>10</v>
      </c>
      <c r="BA1" s="6" t="s">
        <v>11</v>
      </c>
    </row>
    <row r="2" spans="1:53" x14ac:dyDescent="0.2">
      <c r="A2" s="1" t="s">
        <v>1</v>
      </c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4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</row>
    <row r="3" spans="1:53" x14ac:dyDescent="0.2">
      <c r="A3" s="1" t="s">
        <v>2</v>
      </c>
      <c r="B3" s="1" t="s">
        <v>14</v>
      </c>
      <c r="C3" s="14">
        <f ca="1">RANDBETWEEN(-500,4000)</f>
        <v>1147</v>
      </c>
      <c r="D3" s="14">
        <f t="shared" ref="C3:N6" ca="1" si="0">RANDBETWEEN(-500,4000)</f>
        <v>896</v>
      </c>
      <c r="E3" s="14">
        <f t="shared" ca="1" si="0"/>
        <v>-300</v>
      </c>
      <c r="F3" s="14">
        <f t="shared" ca="1" si="0"/>
        <v>2162</v>
      </c>
      <c r="G3" s="14">
        <f t="shared" ca="1" si="0"/>
        <v>2320</v>
      </c>
      <c r="H3" s="14">
        <f t="shared" ca="1" si="0"/>
        <v>1201</v>
      </c>
      <c r="I3" s="14">
        <f t="shared" ca="1" si="0"/>
        <v>1396</v>
      </c>
      <c r="J3" s="14">
        <f t="shared" ca="1" si="0"/>
        <v>2510</v>
      </c>
      <c r="K3" s="14">
        <f t="shared" ca="1" si="0"/>
        <v>-26</v>
      </c>
      <c r="L3" s="14">
        <f t="shared" ca="1" si="0"/>
        <v>625</v>
      </c>
      <c r="M3" s="14">
        <f t="shared" ca="1" si="0"/>
        <v>458</v>
      </c>
      <c r="N3" s="14">
        <f t="shared" ca="1" si="0"/>
        <v>2653</v>
      </c>
      <c r="O3" s="13">
        <f ca="1">RANDBETWEEN(0,4000)</f>
        <v>1605</v>
      </c>
      <c r="P3" s="13">
        <f t="shared" ref="P3:AE10" ca="1" si="1">RANDBETWEEN(0,4000)</f>
        <v>2566</v>
      </c>
      <c r="Q3" s="13">
        <f t="shared" ca="1" si="1"/>
        <v>28</v>
      </c>
      <c r="R3" s="13">
        <f t="shared" ca="1" si="1"/>
        <v>1441</v>
      </c>
      <c r="S3" s="13">
        <f t="shared" ca="1" si="1"/>
        <v>2370</v>
      </c>
      <c r="T3" s="13">
        <f t="shared" ca="1" si="1"/>
        <v>1314</v>
      </c>
      <c r="U3" s="13">
        <f t="shared" ca="1" si="1"/>
        <v>2049</v>
      </c>
      <c r="V3" s="13">
        <f t="shared" ca="1" si="1"/>
        <v>2843</v>
      </c>
      <c r="W3" s="13">
        <f t="shared" ca="1" si="1"/>
        <v>3392</v>
      </c>
      <c r="X3" s="13">
        <f t="shared" ca="1" si="1"/>
        <v>2136</v>
      </c>
      <c r="Y3" s="13">
        <f t="shared" ca="1" si="1"/>
        <v>742</v>
      </c>
      <c r="Z3" s="13">
        <f t="shared" ca="1" si="1"/>
        <v>469</v>
      </c>
      <c r="AA3" s="13">
        <f t="shared" ca="1" si="1"/>
        <v>1784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7">
        <f ca="1">AVERAGE(C3:AA3)</f>
        <v>1511.24</v>
      </c>
      <c r="AZ3">
        <f ca="1">AVERAGE(O3:AA3)</f>
        <v>1749.1538461538462</v>
      </c>
      <c r="BA3">
        <f ca="1">AVERAGE(O3:AX3)</f>
        <v>1749.1538461538462</v>
      </c>
    </row>
    <row r="4" spans="1:53" x14ac:dyDescent="0.2">
      <c r="A4" s="1" t="s">
        <v>3</v>
      </c>
      <c r="B4" s="1" t="s">
        <v>14</v>
      </c>
      <c r="C4" s="14">
        <f t="shared" ca="1" si="0"/>
        <v>1207</v>
      </c>
      <c r="D4" s="14">
        <f t="shared" ca="1" si="0"/>
        <v>655</v>
      </c>
      <c r="E4" s="14">
        <f t="shared" ca="1" si="0"/>
        <v>1816</v>
      </c>
      <c r="F4" s="14">
        <f t="shared" ca="1" si="0"/>
        <v>2688</v>
      </c>
      <c r="G4" s="13">
        <f t="shared" ref="G4:I4" ca="1" si="2">RANDBETWEEN(0,4000)</f>
        <v>582</v>
      </c>
      <c r="H4" s="13">
        <f t="shared" ca="1" si="2"/>
        <v>2828</v>
      </c>
      <c r="I4" s="13">
        <f t="shared" ca="1" si="2"/>
        <v>2384</v>
      </c>
      <c r="J4" s="14">
        <f t="shared" ca="1" si="0"/>
        <v>3363</v>
      </c>
      <c r="K4" s="14">
        <f t="shared" ca="1" si="0"/>
        <v>3445</v>
      </c>
      <c r="L4" s="14">
        <f t="shared" ca="1" si="0"/>
        <v>-363</v>
      </c>
      <c r="M4" s="14">
        <f t="shared" ca="1" si="0"/>
        <v>1297</v>
      </c>
      <c r="N4" s="14">
        <f t="shared" ca="1" si="0"/>
        <v>734</v>
      </c>
      <c r="O4" s="13">
        <f ca="1">RANDBETWEEN(0,4000)</f>
        <v>87</v>
      </c>
      <c r="P4" s="13">
        <f t="shared" ca="1" si="1"/>
        <v>1764</v>
      </c>
      <c r="Q4" s="13">
        <f t="shared" ca="1" si="1"/>
        <v>1794</v>
      </c>
      <c r="R4" s="13">
        <f t="shared" ca="1" si="1"/>
        <v>2404</v>
      </c>
      <c r="S4" s="13">
        <f t="shared" ca="1" si="1"/>
        <v>3575</v>
      </c>
      <c r="T4" s="13">
        <f t="shared" ca="1" si="1"/>
        <v>2201</v>
      </c>
      <c r="U4" s="13">
        <f t="shared" ca="1" si="1"/>
        <v>2358</v>
      </c>
      <c r="V4" s="13">
        <f t="shared" ca="1" si="1"/>
        <v>704</v>
      </c>
      <c r="W4" s="13">
        <f t="shared" ca="1" si="1"/>
        <v>3501</v>
      </c>
      <c r="X4" s="13">
        <f t="shared" ca="1" si="1"/>
        <v>3181</v>
      </c>
      <c r="Y4" s="13">
        <f t="shared" ca="1" si="1"/>
        <v>3870</v>
      </c>
      <c r="Z4" s="13">
        <f t="shared" ca="1" si="1"/>
        <v>3459</v>
      </c>
      <c r="AA4" s="13">
        <f t="shared" ca="1" si="1"/>
        <v>3694</v>
      </c>
      <c r="AB4" s="13">
        <f t="shared" ca="1" si="1"/>
        <v>991</v>
      </c>
      <c r="AC4" s="13">
        <f t="shared" ca="1" si="1"/>
        <v>434</v>
      </c>
      <c r="AD4" s="13">
        <f t="shared" ca="1" si="1"/>
        <v>3070</v>
      </c>
      <c r="AE4" s="13">
        <f t="shared" ca="1" si="1"/>
        <v>3138</v>
      </c>
      <c r="AF4" s="13">
        <f t="shared" ref="AF4:AU7" ca="1" si="3">RANDBETWEEN(0,4000)</f>
        <v>3139</v>
      </c>
      <c r="AG4" s="13">
        <f t="shared" ca="1" si="3"/>
        <v>3588</v>
      </c>
      <c r="AH4" s="13">
        <f t="shared" ca="1" si="3"/>
        <v>396</v>
      </c>
      <c r="AI4" s="13">
        <f t="shared" ca="1" si="3"/>
        <v>3859</v>
      </c>
      <c r="AJ4" s="13">
        <f t="shared" ca="1" si="3"/>
        <v>1871</v>
      </c>
      <c r="AK4" s="13">
        <f t="shared" ca="1" si="3"/>
        <v>2302</v>
      </c>
      <c r="AL4" s="13">
        <f t="shared" ca="1" si="3"/>
        <v>208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7">
        <f ca="1">AVERAGE(C4:AL4)</f>
        <v>2117.3333333333335</v>
      </c>
      <c r="AZ4">
        <f ca="1">AVERAGE(G4:I4,O4:AL4)</f>
        <v>2273.4074074074074</v>
      </c>
      <c r="BA4">
        <f t="shared" ref="BA4:BA10" ca="1" si="4">AVERAGE(O4:AX4)</f>
        <v>2316.1666666666665</v>
      </c>
    </row>
    <row r="5" spans="1:53" x14ac:dyDescent="0.2">
      <c r="A5" s="1" t="s">
        <v>4</v>
      </c>
      <c r="B5" s="1" t="s">
        <v>14</v>
      </c>
      <c r="C5" s="15"/>
      <c r="D5" s="15"/>
      <c r="E5" s="15"/>
      <c r="F5" s="15"/>
      <c r="G5" s="15"/>
      <c r="H5" s="14">
        <f t="shared" ca="1" si="0"/>
        <v>528</v>
      </c>
      <c r="I5" s="14">
        <f t="shared" ca="1" si="0"/>
        <v>1852</v>
      </c>
      <c r="J5" s="14">
        <f t="shared" ca="1" si="0"/>
        <v>-213</v>
      </c>
      <c r="K5" s="14">
        <f t="shared" ca="1" si="0"/>
        <v>846</v>
      </c>
      <c r="L5" s="14">
        <f t="shared" ca="1" si="0"/>
        <v>69</v>
      </c>
      <c r="M5" s="14">
        <f t="shared" ca="1" si="0"/>
        <v>505</v>
      </c>
      <c r="N5" s="14">
        <f t="shared" ca="1" si="0"/>
        <v>3045</v>
      </c>
      <c r="O5" s="13">
        <f t="shared" ref="O5:AW10" ca="1" si="5">RANDBETWEEN(0,4000)</f>
        <v>1435</v>
      </c>
      <c r="P5" s="13">
        <f t="shared" ca="1" si="1"/>
        <v>459</v>
      </c>
      <c r="Q5" s="13">
        <f t="shared" ca="1" si="1"/>
        <v>1277</v>
      </c>
      <c r="R5" s="13">
        <f t="shared" ca="1" si="1"/>
        <v>1437</v>
      </c>
      <c r="S5" s="13">
        <f t="shared" ca="1" si="1"/>
        <v>3762</v>
      </c>
      <c r="T5" s="13">
        <f t="shared" ca="1" si="1"/>
        <v>3203</v>
      </c>
      <c r="U5" s="13">
        <f t="shared" ca="1" si="1"/>
        <v>1178</v>
      </c>
      <c r="V5" s="13">
        <f t="shared" ca="1" si="1"/>
        <v>3757</v>
      </c>
      <c r="W5" s="13">
        <f t="shared" ca="1" si="1"/>
        <v>3887</v>
      </c>
      <c r="X5" s="13">
        <f t="shared" ca="1" si="1"/>
        <v>3438</v>
      </c>
      <c r="Y5" s="13">
        <f t="shared" ca="1" si="1"/>
        <v>384</v>
      </c>
      <c r="Z5" s="13">
        <f t="shared" ca="1" si="1"/>
        <v>1073</v>
      </c>
      <c r="AA5" s="13">
        <f t="shared" ca="1" si="1"/>
        <v>1120</v>
      </c>
      <c r="AB5" s="13">
        <f t="shared" ca="1" si="1"/>
        <v>159</v>
      </c>
      <c r="AC5" s="13">
        <f t="shared" ca="1" si="1"/>
        <v>917</v>
      </c>
      <c r="AD5" s="13">
        <f t="shared" ca="1" si="1"/>
        <v>668</v>
      </c>
      <c r="AE5" s="13">
        <f t="shared" ca="1" si="1"/>
        <v>334</v>
      </c>
      <c r="AF5" s="13">
        <f t="shared" ca="1" si="3"/>
        <v>873</v>
      </c>
      <c r="AG5" s="13">
        <f t="shared" ca="1" si="3"/>
        <v>2681</v>
      </c>
      <c r="AH5" s="13">
        <f t="shared" ca="1" si="3"/>
        <v>2875</v>
      </c>
      <c r="AI5" s="13">
        <f t="shared" ca="1" si="3"/>
        <v>697</v>
      </c>
      <c r="AJ5" s="13">
        <f t="shared" ca="1" si="3"/>
        <v>1615</v>
      </c>
      <c r="AK5" s="13">
        <f t="shared" ca="1" si="3"/>
        <v>195</v>
      </c>
      <c r="AL5" s="13">
        <f t="shared" ca="1" si="3"/>
        <v>70</v>
      </c>
      <c r="AM5" s="13">
        <f t="shared" ca="1" si="3"/>
        <v>1853</v>
      </c>
      <c r="AN5" s="13">
        <f t="shared" ca="1" si="3"/>
        <v>639</v>
      </c>
      <c r="AO5" s="13">
        <f t="shared" ca="1" si="3"/>
        <v>2627</v>
      </c>
      <c r="AP5" s="13">
        <f t="shared" ca="1" si="3"/>
        <v>926</v>
      </c>
      <c r="AQ5" s="13">
        <f t="shared" ca="1" si="3"/>
        <v>711</v>
      </c>
      <c r="AR5" s="13">
        <f t="shared" ca="1" si="3"/>
        <v>3884</v>
      </c>
      <c r="AS5" s="13">
        <f t="shared" ca="1" si="3"/>
        <v>3065</v>
      </c>
      <c r="AT5" s="13">
        <f t="shared" ca="1" si="3"/>
        <v>3373</v>
      </c>
      <c r="AU5" s="13">
        <f t="shared" ca="1" si="3"/>
        <v>645</v>
      </c>
      <c r="AV5" s="13">
        <f t="shared" ref="AV5:AX6" ca="1" si="6">RANDBETWEEN(0,4000)</f>
        <v>2394</v>
      </c>
      <c r="AW5" s="13">
        <f t="shared" ca="1" si="6"/>
        <v>3034</v>
      </c>
      <c r="AX5" s="13">
        <f ca="1">RANDBETWEEN(0,4000)</f>
        <v>1156</v>
      </c>
      <c r="AY5" s="18">
        <f ca="1">AVERAGE(H5:AX5)</f>
        <v>1591.4651162790697</v>
      </c>
      <c r="AZ5">
        <f ca="1">AVERAGE(O5:AX5)</f>
        <v>1716.6944444444443</v>
      </c>
      <c r="BA5">
        <f t="shared" ca="1" si="4"/>
        <v>1716.6944444444443</v>
      </c>
    </row>
    <row r="6" spans="1:53" x14ac:dyDescent="0.2">
      <c r="A6" s="1" t="s">
        <v>5</v>
      </c>
      <c r="B6" s="1" t="s">
        <v>18</v>
      </c>
      <c r="C6" s="14">
        <f t="shared" ca="1" si="0"/>
        <v>1030</v>
      </c>
      <c r="D6" s="14">
        <f t="shared" ca="1" si="0"/>
        <v>2544</v>
      </c>
      <c r="E6" s="14">
        <f t="shared" ca="1" si="0"/>
        <v>1360</v>
      </c>
      <c r="F6" s="14">
        <f t="shared" ca="1" si="0"/>
        <v>1952</v>
      </c>
      <c r="G6" s="13">
        <f ca="1">RANDBETWEEN(0,4000)</f>
        <v>1924</v>
      </c>
      <c r="H6" s="13">
        <f t="shared" ref="H6:N9" ca="1" si="7">RANDBETWEEN(0,4000)</f>
        <v>359</v>
      </c>
      <c r="I6" s="13">
        <f t="shared" ca="1" si="7"/>
        <v>3240</v>
      </c>
      <c r="J6" s="13">
        <f t="shared" ca="1" si="7"/>
        <v>2715</v>
      </c>
      <c r="K6" s="13">
        <f t="shared" ca="1" si="7"/>
        <v>3786</v>
      </c>
      <c r="L6" s="13">
        <f t="shared" ca="1" si="7"/>
        <v>2466</v>
      </c>
      <c r="M6" s="13">
        <f t="shared" ca="1" si="7"/>
        <v>3770</v>
      </c>
      <c r="N6" s="13">
        <f t="shared" ca="1" si="7"/>
        <v>3875</v>
      </c>
      <c r="O6" s="13">
        <f t="shared" ca="1" si="5"/>
        <v>1435</v>
      </c>
      <c r="P6" s="13">
        <f t="shared" ca="1" si="1"/>
        <v>1895</v>
      </c>
      <c r="Q6" s="13">
        <f t="shared" ca="1" si="1"/>
        <v>2998</v>
      </c>
      <c r="R6" s="13">
        <f t="shared" ca="1" si="1"/>
        <v>1622</v>
      </c>
      <c r="S6" s="13">
        <f t="shared" ca="1" si="1"/>
        <v>1282</v>
      </c>
      <c r="T6" s="13">
        <f t="shared" ca="1" si="1"/>
        <v>2971</v>
      </c>
      <c r="U6" s="13">
        <f t="shared" ca="1" si="1"/>
        <v>1710</v>
      </c>
      <c r="V6" s="13">
        <f t="shared" ca="1" si="1"/>
        <v>3078</v>
      </c>
      <c r="W6" s="13">
        <f t="shared" ca="1" si="1"/>
        <v>2711</v>
      </c>
      <c r="X6" s="13">
        <f t="shared" ca="1" si="1"/>
        <v>2943</v>
      </c>
      <c r="Y6" s="13">
        <f t="shared" ca="1" si="1"/>
        <v>1354</v>
      </c>
      <c r="Z6" s="13">
        <f t="shared" ca="1" si="1"/>
        <v>1420</v>
      </c>
      <c r="AA6" s="13">
        <f t="shared" ca="1" si="1"/>
        <v>3580</v>
      </c>
      <c r="AB6" s="13">
        <f t="shared" ca="1" si="1"/>
        <v>1470</v>
      </c>
      <c r="AC6" s="13">
        <f t="shared" ca="1" si="1"/>
        <v>1501</v>
      </c>
      <c r="AD6" s="13">
        <f t="shared" ca="1" si="1"/>
        <v>2634</v>
      </c>
      <c r="AE6" s="13">
        <f t="shared" ca="1" si="1"/>
        <v>867</v>
      </c>
      <c r="AF6" s="13">
        <f t="shared" ca="1" si="3"/>
        <v>2880</v>
      </c>
      <c r="AG6" s="13">
        <f t="shared" ca="1" si="3"/>
        <v>2683</v>
      </c>
      <c r="AH6" s="13">
        <f t="shared" ca="1" si="3"/>
        <v>100</v>
      </c>
      <c r="AI6" s="13">
        <f t="shared" ca="1" si="3"/>
        <v>3054</v>
      </c>
      <c r="AJ6" s="13">
        <f t="shared" ca="1" si="3"/>
        <v>3695</v>
      </c>
      <c r="AK6" s="13">
        <f t="shared" ca="1" si="3"/>
        <v>2181</v>
      </c>
      <c r="AL6" s="13">
        <f t="shared" ca="1" si="3"/>
        <v>1476</v>
      </c>
      <c r="AM6" s="13">
        <f t="shared" ca="1" si="3"/>
        <v>780</v>
      </c>
      <c r="AN6" s="13">
        <f t="shared" ca="1" si="3"/>
        <v>3637</v>
      </c>
      <c r="AO6" s="13">
        <f t="shared" ca="1" si="3"/>
        <v>2000</v>
      </c>
      <c r="AP6" s="13">
        <f t="shared" ca="1" si="3"/>
        <v>3034</v>
      </c>
      <c r="AQ6" s="13">
        <f t="shared" ca="1" si="3"/>
        <v>839</v>
      </c>
      <c r="AR6" s="13">
        <f t="shared" ca="1" si="3"/>
        <v>412</v>
      </c>
      <c r="AS6" s="13">
        <f t="shared" ca="1" si="3"/>
        <v>344</v>
      </c>
      <c r="AT6" s="13">
        <f t="shared" ca="1" si="3"/>
        <v>1301</v>
      </c>
      <c r="AU6" s="13">
        <f t="shared" ca="1" si="3"/>
        <v>1790</v>
      </c>
      <c r="AV6" s="13">
        <f t="shared" ca="1" si="6"/>
        <v>3537</v>
      </c>
      <c r="AW6" s="13">
        <f t="shared" ca="1" si="6"/>
        <v>3904</v>
      </c>
      <c r="AX6" s="13">
        <f t="shared" ca="1" si="6"/>
        <v>3975</v>
      </c>
      <c r="AY6" s="18">
        <f ca="1">AVERAGE(C6:AX6)</f>
        <v>2210.7083333333335</v>
      </c>
      <c r="AZ6">
        <f ca="1">AVERAGE(G6:AX6)</f>
        <v>2255.181818181818</v>
      </c>
      <c r="BA6">
        <f t="shared" ca="1" si="4"/>
        <v>2141.4722222222222</v>
      </c>
    </row>
    <row r="7" spans="1:53" x14ac:dyDescent="0.2">
      <c r="A7" s="1" t="s">
        <v>6</v>
      </c>
      <c r="B7" s="1" t="s">
        <v>18</v>
      </c>
      <c r="C7" s="13">
        <f t="shared" ref="C7:K8" ca="1" si="8">RANDBETWEEN(0,4000)</f>
        <v>3577</v>
      </c>
      <c r="D7" s="13">
        <f t="shared" ca="1" si="8"/>
        <v>3950</v>
      </c>
      <c r="E7" s="13">
        <f t="shared" ca="1" si="8"/>
        <v>3066</v>
      </c>
      <c r="F7" s="13">
        <f t="shared" ca="1" si="8"/>
        <v>520</v>
      </c>
      <c r="G7" s="13">
        <f t="shared" ca="1" si="8"/>
        <v>1109</v>
      </c>
      <c r="H7" s="13">
        <f t="shared" ca="1" si="7"/>
        <v>2999</v>
      </c>
      <c r="I7" s="13">
        <f t="shared" ca="1" si="7"/>
        <v>573</v>
      </c>
      <c r="J7" s="13">
        <f t="shared" ca="1" si="7"/>
        <v>3836</v>
      </c>
      <c r="K7" s="13">
        <f t="shared" ca="1" si="7"/>
        <v>203</v>
      </c>
      <c r="L7" s="15"/>
      <c r="M7" s="15"/>
      <c r="N7" s="16"/>
      <c r="O7" s="13">
        <f t="shared" ca="1" si="5"/>
        <v>1999</v>
      </c>
      <c r="P7" s="13">
        <f t="shared" ca="1" si="1"/>
        <v>2982</v>
      </c>
      <c r="Q7" s="13">
        <f t="shared" ca="1" si="1"/>
        <v>2701</v>
      </c>
      <c r="R7" s="13">
        <f t="shared" ca="1" si="1"/>
        <v>18</v>
      </c>
      <c r="S7" s="13">
        <f t="shared" ca="1" si="1"/>
        <v>2640</v>
      </c>
      <c r="T7" s="13">
        <f t="shared" ca="1" si="1"/>
        <v>1219</v>
      </c>
      <c r="U7" s="13">
        <f t="shared" ca="1" si="1"/>
        <v>3394</v>
      </c>
      <c r="V7" s="13">
        <f t="shared" ca="1" si="1"/>
        <v>2437</v>
      </c>
      <c r="W7" s="13">
        <f t="shared" ca="1" si="1"/>
        <v>2139</v>
      </c>
      <c r="X7" s="13">
        <f t="shared" ca="1" si="1"/>
        <v>1421</v>
      </c>
      <c r="Y7" s="13">
        <f t="shared" ca="1" si="1"/>
        <v>3995</v>
      </c>
      <c r="Z7" s="13">
        <f t="shared" ca="1" si="1"/>
        <v>1375</v>
      </c>
      <c r="AA7" s="13">
        <f t="shared" ca="1" si="1"/>
        <v>2282</v>
      </c>
      <c r="AB7" s="13">
        <f t="shared" ca="1" si="1"/>
        <v>778</v>
      </c>
      <c r="AC7" s="13">
        <f t="shared" ca="1" si="1"/>
        <v>1771</v>
      </c>
      <c r="AD7" s="13">
        <f t="shared" ca="1" si="1"/>
        <v>940</v>
      </c>
      <c r="AE7" s="13">
        <f t="shared" ca="1" si="1"/>
        <v>1133</v>
      </c>
      <c r="AF7" s="13">
        <f t="shared" ca="1" si="3"/>
        <v>160</v>
      </c>
      <c r="AG7" s="13">
        <f t="shared" ca="1" si="3"/>
        <v>2003</v>
      </c>
      <c r="AH7" s="13">
        <f t="shared" ca="1" si="3"/>
        <v>3562</v>
      </c>
      <c r="AI7" s="13">
        <f t="shared" ca="1" si="3"/>
        <v>3356</v>
      </c>
      <c r="AJ7" s="13">
        <f t="shared" ca="1" si="3"/>
        <v>3514</v>
      </c>
      <c r="AK7" s="13">
        <f t="shared" ca="1" si="3"/>
        <v>1687</v>
      </c>
      <c r="AL7" s="13">
        <f t="shared" ca="1" si="3"/>
        <v>3830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7">
        <f ca="1">AVERAGE(O7:AL7,C7:K7)</f>
        <v>2156.6363636363635</v>
      </c>
      <c r="AZ7">
        <f ca="1">AVERAGE(O7:AL7,C7:K7)</f>
        <v>2156.6363636363635</v>
      </c>
      <c r="BA7">
        <f t="shared" ca="1" si="4"/>
        <v>2139</v>
      </c>
    </row>
    <row r="8" spans="1:53" x14ac:dyDescent="0.2">
      <c r="A8" s="1" t="s">
        <v>7</v>
      </c>
      <c r="B8" s="1" t="s">
        <v>18</v>
      </c>
      <c r="C8" s="13">
        <f t="shared" ca="1" si="8"/>
        <v>3617</v>
      </c>
      <c r="D8" s="13">
        <f t="shared" ca="1" si="8"/>
        <v>871</v>
      </c>
      <c r="E8" s="13">
        <f t="shared" ca="1" si="8"/>
        <v>3745</v>
      </c>
      <c r="F8" s="13">
        <f t="shared" ca="1" si="8"/>
        <v>314</v>
      </c>
      <c r="G8" s="13">
        <f t="shared" ca="1" si="8"/>
        <v>1508</v>
      </c>
      <c r="H8" s="13">
        <f t="shared" ca="1" si="7"/>
        <v>2822</v>
      </c>
      <c r="I8" s="13">
        <f t="shared" ca="1" si="7"/>
        <v>1391</v>
      </c>
      <c r="J8" s="13">
        <f t="shared" ca="1" si="7"/>
        <v>2293</v>
      </c>
      <c r="K8" s="13">
        <f t="shared" ca="1" si="7"/>
        <v>373</v>
      </c>
      <c r="L8" s="13">
        <f t="shared" ca="1" si="7"/>
        <v>124</v>
      </c>
      <c r="M8" s="13">
        <f t="shared" ca="1" si="7"/>
        <v>3697</v>
      </c>
      <c r="N8" s="13">
        <f t="shared" ca="1" si="7"/>
        <v>1973</v>
      </c>
      <c r="O8" s="13">
        <f t="shared" ca="1" si="5"/>
        <v>529</v>
      </c>
      <c r="P8" s="13">
        <f t="shared" ca="1" si="1"/>
        <v>1072</v>
      </c>
      <c r="Q8" s="13">
        <f t="shared" ca="1" si="1"/>
        <v>425</v>
      </c>
      <c r="R8" s="13">
        <f t="shared" ca="1" si="1"/>
        <v>2736</v>
      </c>
      <c r="S8" s="13">
        <f t="shared" ca="1" si="1"/>
        <v>1070</v>
      </c>
      <c r="T8" s="13">
        <f t="shared" ca="1" si="1"/>
        <v>3941</v>
      </c>
      <c r="U8" s="13">
        <f t="shared" ca="1" si="1"/>
        <v>2377</v>
      </c>
      <c r="V8" s="13">
        <f t="shared" ca="1" si="1"/>
        <v>1252</v>
      </c>
      <c r="W8" s="13">
        <f t="shared" ca="1" si="1"/>
        <v>3948</v>
      </c>
      <c r="X8" s="13">
        <f t="shared" ca="1" si="1"/>
        <v>3448</v>
      </c>
      <c r="Y8" s="13">
        <f t="shared" ca="1" si="1"/>
        <v>2350</v>
      </c>
      <c r="Z8" s="13">
        <f t="shared" ca="1" si="1"/>
        <v>2902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7">
        <f ca="1">AVERAGE(C8:Z8)</f>
        <v>2032.4166666666667</v>
      </c>
      <c r="AZ8">
        <f ca="1">AVERAGE(C8:Z8)</f>
        <v>2032.4166666666667</v>
      </c>
      <c r="BA8">
        <f t="shared" ca="1" si="4"/>
        <v>2170.8333333333335</v>
      </c>
    </row>
    <row r="9" spans="1:53" x14ac:dyDescent="0.2">
      <c r="A9" s="1" t="s">
        <v>8</v>
      </c>
      <c r="B9" s="1" t="s">
        <v>19</v>
      </c>
      <c r="C9" s="15"/>
      <c r="D9" s="15"/>
      <c r="E9" s="15"/>
      <c r="F9" s="15"/>
      <c r="G9" s="15"/>
      <c r="H9" s="13">
        <f t="shared" ca="1" si="7"/>
        <v>3707</v>
      </c>
      <c r="I9" s="13">
        <f t="shared" ca="1" si="7"/>
        <v>934</v>
      </c>
      <c r="J9" s="13">
        <f t="shared" ca="1" si="7"/>
        <v>2715</v>
      </c>
      <c r="K9" s="13">
        <f t="shared" ca="1" si="7"/>
        <v>1930</v>
      </c>
      <c r="L9" s="14">
        <f t="shared" ref="L9:N9" ca="1" si="9">RANDBETWEEN(-500,4000)</f>
        <v>529</v>
      </c>
      <c r="M9" s="14">
        <f t="shared" ca="1" si="9"/>
        <v>3944</v>
      </c>
      <c r="N9" s="14">
        <f t="shared" ca="1" si="9"/>
        <v>2102</v>
      </c>
      <c r="O9" s="13">
        <f t="shared" ca="1" si="5"/>
        <v>2845</v>
      </c>
      <c r="P9" s="13">
        <f t="shared" ca="1" si="1"/>
        <v>947</v>
      </c>
      <c r="Q9" s="13">
        <f t="shared" ca="1" si="1"/>
        <v>2859</v>
      </c>
      <c r="R9" s="13">
        <f t="shared" ca="1" si="1"/>
        <v>1241</v>
      </c>
      <c r="S9" s="13">
        <f t="shared" ca="1" si="1"/>
        <v>160</v>
      </c>
      <c r="T9" s="13">
        <f t="shared" ca="1" si="1"/>
        <v>1747</v>
      </c>
      <c r="U9" s="13">
        <f t="shared" ca="1" si="1"/>
        <v>50</v>
      </c>
      <c r="V9" s="13">
        <f t="shared" ca="1" si="1"/>
        <v>2726</v>
      </c>
      <c r="W9" s="13">
        <f t="shared" ca="1" si="1"/>
        <v>68</v>
      </c>
      <c r="X9" s="13">
        <f t="shared" ca="1" si="1"/>
        <v>3517</v>
      </c>
      <c r="Y9" s="13">
        <f t="shared" ca="1" si="1"/>
        <v>3519</v>
      </c>
      <c r="Z9" s="13">
        <f t="shared" ca="1" si="1"/>
        <v>1125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7">
        <f ca="1">AVERAGE(H9:Z9)</f>
        <v>1929.7368421052631</v>
      </c>
      <c r="AZ9">
        <f ca="1">AVERAGE(O9:Z9,H9:K9)</f>
        <v>1880.625</v>
      </c>
      <c r="BA9">
        <f t="shared" ca="1" si="4"/>
        <v>1733.6666666666667</v>
      </c>
    </row>
    <row r="10" spans="1:53" x14ac:dyDescent="0.2">
      <c r="A10" s="1" t="s">
        <v>9</v>
      </c>
      <c r="B10" s="1" t="s">
        <v>19</v>
      </c>
      <c r="C10" s="13">
        <f t="shared" ref="C10:G10" ca="1" si="10">RANDBETWEEN(0,4000)</f>
        <v>1013</v>
      </c>
      <c r="D10" s="13">
        <f t="shared" ca="1" si="10"/>
        <v>3312</v>
      </c>
      <c r="E10" s="13">
        <f t="shared" ca="1" si="10"/>
        <v>746</v>
      </c>
      <c r="F10" s="13">
        <f t="shared" ca="1" si="10"/>
        <v>2826</v>
      </c>
      <c r="G10" s="13">
        <f t="shared" ca="1" si="10"/>
        <v>2028</v>
      </c>
      <c r="H10" s="15"/>
      <c r="I10" s="15"/>
      <c r="J10" s="15"/>
      <c r="K10" s="15"/>
      <c r="L10" s="15"/>
      <c r="M10" s="15"/>
      <c r="N10" s="15"/>
      <c r="O10" s="13">
        <f t="shared" ca="1" si="5"/>
        <v>2328</v>
      </c>
      <c r="P10" s="13">
        <f t="shared" ca="1" si="1"/>
        <v>288</v>
      </c>
      <c r="Q10" s="13">
        <f t="shared" ca="1" si="1"/>
        <v>1260</v>
      </c>
      <c r="R10" s="13">
        <f t="shared" ca="1" si="1"/>
        <v>83</v>
      </c>
      <c r="S10" s="13">
        <f t="shared" ca="1" si="1"/>
        <v>317</v>
      </c>
      <c r="T10" s="13">
        <f t="shared" ca="1" si="1"/>
        <v>147</v>
      </c>
      <c r="U10" s="13">
        <f t="shared" ca="1" si="1"/>
        <v>3928</v>
      </c>
      <c r="V10" s="13">
        <f t="shared" ca="1" si="1"/>
        <v>325</v>
      </c>
      <c r="W10" s="13">
        <f t="shared" ca="1" si="1"/>
        <v>3991</v>
      </c>
      <c r="X10" s="13">
        <f t="shared" ca="1" si="1"/>
        <v>708</v>
      </c>
      <c r="Y10" s="13">
        <f t="shared" ca="1" si="1"/>
        <v>3886</v>
      </c>
      <c r="Z10" s="13">
        <f t="shared" ca="1" si="1"/>
        <v>3391</v>
      </c>
      <c r="AA10" s="13">
        <f t="shared" ca="1" si="1"/>
        <v>392</v>
      </c>
      <c r="AB10" s="13">
        <f t="shared" ca="1" si="1"/>
        <v>1715</v>
      </c>
      <c r="AC10" s="13">
        <f t="shared" ca="1" si="1"/>
        <v>734</v>
      </c>
      <c r="AD10" s="13">
        <f t="shared" ca="1" si="1"/>
        <v>645</v>
      </c>
      <c r="AE10" s="13">
        <f t="shared" ca="1" si="1"/>
        <v>2474</v>
      </c>
      <c r="AF10" s="13">
        <f t="shared" ref="AF10:AX10" ca="1" si="11">RANDBETWEEN(0,4000)</f>
        <v>684</v>
      </c>
      <c r="AG10" s="13">
        <f t="shared" ca="1" si="11"/>
        <v>321</v>
      </c>
      <c r="AH10" s="13">
        <f t="shared" ca="1" si="11"/>
        <v>2933</v>
      </c>
      <c r="AI10" s="13">
        <f t="shared" ca="1" si="11"/>
        <v>1498</v>
      </c>
      <c r="AJ10" s="13">
        <f t="shared" ca="1" si="11"/>
        <v>3536</v>
      </c>
      <c r="AK10" s="13">
        <f t="shared" ca="1" si="11"/>
        <v>1150</v>
      </c>
      <c r="AL10" s="13">
        <f t="shared" ca="1" si="11"/>
        <v>827</v>
      </c>
      <c r="AM10" s="13">
        <f t="shared" ca="1" si="11"/>
        <v>1726</v>
      </c>
      <c r="AN10" s="13">
        <f t="shared" ca="1" si="11"/>
        <v>2895</v>
      </c>
      <c r="AO10" s="13">
        <f t="shared" ca="1" si="11"/>
        <v>3972</v>
      </c>
      <c r="AP10" s="13">
        <f t="shared" ca="1" si="11"/>
        <v>3777</v>
      </c>
      <c r="AQ10" s="13">
        <f t="shared" ca="1" si="11"/>
        <v>1008</v>
      </c>
      <c r="AR10" s="13">
        <f t="shared" ca="1" si="11"/>
        <v>1676</v>
      </c>
      <c r="AS10" s="13">
        <f t="shared" ca="1" si="11"/>
        <v>1608</v>
      </c>
      <c r="AT10" s="13">
        <f t="shared" ca="1" si="11"/>
        <v>782</v>
      </c>
      <c r="AU10" s="13">
        <f t="shared" ca="1" si="11"/>
        <v>2285</v>
      </c>
      <c r="AV10" s="13">
        <f t="shared" ca="1" si="11"/>
        <v>279</v>
      </c>
      <c r="AW10" s="13">
        <f t="shared" ca="1" si="11"/>
        <v>2990</v>
      </c>
      <c r="AX10" s="13">
        <f t="shared" ca="1" si="11"/>
        <v>302</v>
      </c>
      <c r="AY10" s="18">
        <f ca="1">AVERAGE(O10:AX10,C10:G10)</f>
        <v>1726.4878048780488</v>
      </c>
      <c r="AZ10">
        <f ca="1">AVERAGE(O10:AX10,C10:G10)</f>
        <v>1726.4878048780488</v>
      </c>
      <c r="BA10">
        <f t="shared" ca="1" si="4"/>
        <v>1690.5833333333333</v>
      </c>
    </row>
    <row r="11" spans="1:53" x14ac:dyDescent="0.2">
      <c r="N11" s="3"/>
      <c r="P11" s="5"/>
      <c r="Q11" s="5"/>
      <c r="R11" s="5"/>
    </row>
    <row r="12" spans="1:53" x14ac:dyDescent="0.2">
      <c r="N12" s="3"/>
    </row>
    <row r="13" spans="1:53" x14ac:dyDescent="0.2">
      <c r="N13" s="3"/>
    </row>
    <row r="14" spans="1:53" x14ac:dyDescent="0.2">
      <c r="N14" s="3"/>
    </row>
    <row r="16" spans="1:53" x14ac:dyDescent="0.2">
      <c r="A16" s="7" t="s">
        <v>12</v>
      </c>
      <c r="B16" s="7"/>
      <c r="I16" t="s">
        <v>21</v>
      </c>
      <c r="V16" t="s">
        <v>24</v>
      </c>
    </row>
    <row r="17" spans="1:25" x14ac:dyDescent="0.2">
      <c r="A17" t="s">
        <v>13</v>
      </c>
      <c r="B17" s="8"/>
      <c r="C17" s="11"/>
      <c r="J17" t="s">
        <v>22</v>
      </c>
      <c r="M17">
        <f ca="1">AVERAGE(C3:AX5)-AVERAGE(C6:AX8)</f>
        <v>-398.7503663003663</v>
      </c>
      <c r="V17" t="s">
        <v>22</v>
      </c>
      <c r="Y17" s="19">
        <f ca="1">AVERAGE(AY3:AY5)-AVERAGE(AY6:AY8)</f>
        <v>-393.24097134132012</v>
      </c>
    </row>
    <row r="18" spans="1:25" x14ac:dyDescent="0.2">
      <c r="A18" t="s">
        <v>15</v>
      </c>
      <c r="B18" s="9"/>
      <c r="C18" s="11"/>
      <c r="J18" t="s">
        <v>23</v>
      </c>
      <c r="M18">
        <f ca="1">AVERAGE(C9:AX10)-AVERAGE(C6:AX8)</f>
        <v>-362.11190476190495</v>
      </c>
      <c r="V18" t="s">
        <v>25</v>
      </c>
      <c r="Y18" s="19">
        <f ca="1">AVERAGE(AY9:AY10)-AVERAGE(AY6:AY8)</f>
        <v>-305.14146438713215</v>
      </c>
    </row>
    <row r="19" spans="1:25" x14ac:dyDescent="0.2">
      <c r="A19" t="s">
        <v>16</v>
      </c>
      <c r="B19" s="10"/>
      <c r="C19" s="11"/>
    </row>
  </sheetData>
  <mergeCells count="1">
    <mergeCell ref="C1:AX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Nobles</dc:creator>
  <cp:lastModifiedBy>Todd Nobles</cp:lastModifiedBy>
  <dcterms:created xsi:type="dcterms:W3CDTF">2023-09-07T22:51:09Z</dcterms:created>
  <dcterms:modified xsi:type="dcterms:W3CDTF">2023-09-07T23:19:55Z</dcterms:modified>
</cp:coreProperties>
</file>